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thankung/Documents/"/>
    </mc:Choice>
  </mc:AlternateContent>
  <xr:revisionPtr revIDLastSave="0" documentId="13_ncr:1_{D0AB83E9-9F52-4D40-A5C3-1A647F3F067D}" xr6:coauthVersionLast="47" xr6:coauthVersionMax="47" xr10:uidLastSave="{00000000-0000-0000-0000-000000000000}"/>
  <bookViews>
    <workbookView xWindow="14500" yWindow="760" windowWidth="15740" windowHeight="17380" xr2:uid="{76D1688E-6B78-9A47-8520-1806B80242C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1" l="1"/>
  <c r="E19" i="1"/>
  <c r="F18" i="1"/>
  <c r="E18" i="1"/>
  <c r="F20" i="1"/>
  <c r="D20" i="1"/>
  <c r="E20" i="1"/>
</calcChain>
</file>

<file path=xl/sharedStrings.xml><?xml version="1.0" encoding="utf-8"?>
<sst xmlns="http://schemas.openxmlformats.org/spreadsheetml/2006/main" count="15" uniqueCount="14">
  <si>
    <t>A321neo</t>
  </si>
  <si>
    <t>A330-900neo</t>
  </si>
  <si>
    <t>A350-900</t>
  </si>
  <si>
    <t>Passenger Capacity</t>
  </si>
  <si>
    <t>Time cost (Low)</t>
  </si>
  <si>
    <t>Time cost (Medium)</t>
  </si>
  <si>
    <t>Time cost (High)</t>
  </si>
  <si>
    <t>Cost (S1)</t>
  </si>
  <si>
    <t>Cost (S2)</t>
  </si>
  <si>
    <t>Cost (S3)</t>
  </si>
  <si>
    <t>Time</t>
  </si>
  <si>
    <t>/</t>
  </si>
  <si>
    <t>Fuel Consumption rate (kg/min)</t>
  </si>
  <si>
    <t>Fixed Cost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</si>
</sst>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84B91-CE27-F547-8D00-63B85EFB3ABB}">
  <dimension ref="C2:F20"/>
  <sheetViews>
    <sheetView tabSelected="1" zoomScale="119" workbookViewId="0">
      <selection activeCell="C5" sqref="C5"/>
    </sheetView>
  </sheetViews>
  <sheetFormatPr baseColWidth="10" defaultRowHeight="16" x14ac:dyDescent="0.2"/>
  <cols>
    <col min="1" max="2" width="10.83203125" style="1"/>
    <col min="3" max="3" width="31.6640625" style="1" customWidth="1"/>
    <col min="4" max="4" width="10.83203125" style="1"/>
    <col min="5" max="5" width="14" style="1" customWidth="1"/>
    <col min="6" max="16384" width="10.83203125" style="1"/>
  </cols>
  <sheetData>
    <row r="2" spans="3:6" x14ac:dyDescent="0.2">
      <c r="D2" s="1" t="s">
        <v>0</v>
      </c>
      <c r="E2" s="1" t="s">
        <v>1</v>
      </c>
      <c r="F2" s="1" t="s">
        <v>2</v>
      </c>
    </row>
    <row r="3" spans="3:6" x14ac:dyDescent="0.2">
      <c r="C3" s="1" t="s">
        <v>12</v>
      </c>
      <c r="D3" s="1">
        <v>54</v>
      </c>
      <c r="E3" s="1">
        <v>84</v>
      </c>
      <c r="F3" s="1">
        <v>90</v>
      </c>
    </row>
    <row r="4" spans="3:6" x14ac:dyDescent="0.2">
      <c r="C4" s="1" t="s">
        <v>3</v>
      </c>
      <c r="D4" s="1">
        <v>200</v>
      </c>
      <c r="E4" s="1">
        <v>300</v>
      </c>
      <c r="F4" s="1">
        <v>350</v>
      </c>
    </row>
    <row r="5" spans="3:6" x14ac:dyDescent="0.2">
      <c r="C5" s="1" t="s">
        <v>4</v>
      </c>
      <c r="D5" s="1">
        <v>10</v>
      </c>
      <c r="E5" s="1">
        <v>15</v>
      </c>
      <c r="F5" s="1">
        <v>20</v>
      </c>
    </row>
    <row r="6" spans="3:6" x14ac:dyDescent="0.2">
      <c r="C6" s="1" t="s">
        <v>5</v>
      </c>
      <c r="D6" s="1">
        <v>15</v>
      </c>
      <c r="E6" s="1">
        <v>21</v>
      </c>
      <c r="F6" s="1">
        <v>27</v>
      </c>
    </row>
    <row r="7" spans="3:6" x14ac:dyDescent="0.2">
      <c r="C7" s="1" t="s">
        <v>6</v>
      </c>
      <c r="D7" s="1">
        <v>20</v>
      </c>
      <c r="E7" s="1">
        <v>27</v>
      </c>
      <c r="F7" s="1">
        <v>34</v>
      </c>
    </row>
    <row r="8" spans="3:6" x14ac:dyDescent="0.2">
      <c r="C8" s="1" t="s">
        <v>13</v>
      </c>
      <c r="D8" s="1">
        <v>1800</v>
      </c>
      <c r="E8" s="1">
        <v>2000</v>
      </c>
      <c r="F8" s="1">
        <v>2500</v>
      </c>
    </row>
    <row r="9" spans="3:6" x14ac:dyDescent="0.2">
      <c r="C9" s="1" t="s">
        <v>10</v>
      </c>
      <c r="D9" s="3">
        <v>76.154328932550598</v>
      </c>
      <c r="E9" s="3"/>
      <c r="F9" s="3"/>
    </row>
    <row r="14" spans="3:6" x14ac:dyDescent="0.2">
      <c r="C14" s="2"/>
    </row>
    <row r="18" spans="3:6" x14ac:dyDescent="0.2">
      <c r="C18" s="1" t="s">
        <v>7</v>
      </c>
      <c r="D18" s="1" t="s">
        <v>11</v>
      </c>
      <c r="E18" s="1">
        <f>11*(E3*D9*0.85+E6*D9+E8)</f>
        <v>99403.259927044433</v>
      </c>
      <c r="F18" s="1">
        <f>10*(F3*D9*0.85+F6*D9+F8)</f>
        <v>103819.73044518987</v>
      </c>
    </row>
    <row r="19" spans="3:6" x14ac:dyDescent="0.2">
      <c r="C19" s="1" t="s">
        <v>8</v>
      </c>
      <c r="D19" s="1" t="s">
        <v>11</v>
      </c>
      <c r="E19" s="1">
        <f>5*(E3*D9*0.96+E7*D9+E8)</f>
        <v>50986.259831498726</v>
      </c>
      <c r="F19" s="1">
        <f>5*(F3*D9*0.96+F7*D9+F8)</f>
        <v>58344.906017395464</v>
      </c>
    </row>
    <row r="20" spans="3:6" x14ac:dyDescent="0.2">
      <c r="C20" s="2" t="s">
        <v>9</v>
      </c>
      <c r="D20" s="1">
        <f>12*(D3*D9*0.78+D5*D9+D8)</f>
        <v>69229.963487574452</v>
      </c>
      <c r="E20" s="1">
        <f>8*(E3*D9*0.78+E5*D9+E8)</f>
        <v>65055.57252519179</v>
      </c>
      <c r="F20" s="1">
        <f>7*(F3*D9*0.78+F5*D9+F8)</f>
        <v>65583.84328801246</v>
      </c>
    </row>
  </sheetData>
  <mergeCells count="1">
    <mergeCell ref="D9:F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POK HO KUNG</dc:creator>
  <cp:lastModifiedBy>POK HO KUNG</cp:lastModifiedBy>
  <dcterms:created xsi:type="dcterms:W3CDTF">2025-11-03T08:53:43Z</dcterms:created>
  <dcterms:modified xsi:type="dcterms:W3CDTF">2025-11-03T09:59:37Z</dcterms:modified>
</cp:coreProperties>
</file>